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ve/python/3d-sudoku/estimating/"/>
    </mc:Choice>
  </mc:AlternateContent>
  <xr:revisionPtr revIDLastSave="0" documentId="13_ncr:1_{56502116-726E-B04B-8FC2-FD1C09D7A317}" xr6:coauthVersionLast="47" xr6:coauthVersionMax="47" xr10:uidLastSave="{00000000-0000-0000-0000-000000000000}"/>
  <bookViews>
    <workbookView xWindow="29600" yWindow="-25780" windowWidth="30240" windowHeight="17640" activeTab="2" xr2:uid="{00000000-000D-0000-FFFF-FFFF00000000}"/>
  </bookViews>
  <sheets>
    <sheet name="combinations of first layer" sheetId="1" r:id="rId1"/>
    <sheet name="C++ speed" sheetId="2" r:id="rId2"/>
    <sheet name="stop_depth" sheetId="3" r:id="rId3"/>
  </sheets>
  <definedNames>
    <definedName name="_xlchart.v1.0" hidden="1">stop_depth!$B$3:$B$14</definedName>
    <definedName name="_xlchart.v1.1" hidden="1">stop_depth!$C$3:$C$14</definedName>
    <definedName name="_xlchart.v2.2" hidden="1">stop_depth!$B$3:$B$14</definedName>
    <definedName name="_xlchart.v2.3" hidden="1">stop_depth!$C$3:$C$14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2" l="1"/>
  <c r="B18" i="2"/>
  <c r="C16" i="2"/>
  <c r="B17" i="2"/>
  <c r="B16" i="2"/>
  <c r="F59" i="1"/>
  <c r="C58" i="1"/>
  <c r="C57" i="1"/>
  <c r="D47" i="1"/>
  <c r="D46" i="1" s="1"/>
  <c r="D45" i="1" s="1"/>
  <c r="D44" i="1" s="1"/>
  <c r="D43" i="1" s="1"/>
  <c r="F43" i="1" s="1"/>
  <c r="H43" i="1" s="1"/>
  <c r="D34" i="1"/>
  <c r="D20" i="1"/>
  <c r="D19" i="1" s="1"/>
  <c r="D18" i="1" s="1"/>
  <c r="D17" i="1" s="1"/>
  <c r="D16" i="1" s="1"/>
  <c r="F16" i="1" s="1"/>
  <c r="H16" i="1" s="1"/>
  <c r="D6" i="1"/>
  <c r="D5" i="1" s="1"/>
  <c r="D4" i="1" s="1"/>
  <c r="D3" i="1" s="1"/>
  <c r="D2" i="1" s="1"/>
  <c r="F2" i="1" s="1"/>
  <c r="H2" i="1" s="1"/>
  <c r="D58" i="1" l="1"/>
  <c r="F58" i="1" s="1"/>
  <c r="D57" i="1"/>
  <c r="D33" i="1"/>
  <c r="D32" i="1" s="1"/>
  <c r="D31" i="1" s="1"/>
  <c r="D30" i="1" s="1"/>
  <c r="F30" i="1" s="1"/>
  <c r="H30" i="1" s="1"/>
  <c r="D56" i="1" l="1"/>
  <c r="F56" i="1" s="1"/>
  <c r="H56" i="1" s="1"/>
  <c r="F57" i="1"/>
</calcChain>
</file>

<file path=xl/sharedStrings.xml><?xml version="1.0" encoding="utf-8"?>
<sst xmlns="http://schemas.openxmlformats.org/spreadsheetml/2006/main" count="118" uniqueCount="59">
  <si>
    <t>Pos</t>
  </si>
  <si>
    <t>Time</t>
  </si>
  <si>
    <t>hours</t>
  </si>
  <si>
    <t>days</t>
  </si>
  <si>
    <t>variants</t>
  </si>
  <si>
    <t>years</t>
  </si>
  <si>
    <t>Without 6/9 alternates</t>
  </si>
  <si>
    <t>Pypy3.10 and available set logic</t>
  </si>
  <si>
    <t>--- with - 9 1 - - -	20061.588s	 1,507,742,720 solutions</t>
  </si>
  <si>
    <t>--- with - 6 1 - - -	40029.570s	 3,015,485,440 solutions</t>
  </si>
  <si>
    <t>Rust with bitset + inline</t>
  </si>
  <si>
    <t xml:space="preserve">--- with - 9 1 - - -     6398.358s 1,507,742,720 solutions
</t>
  </si>
  <si>
    <t>--- with - 6 1 - - -     12770.027s 3,015,485,440 solutions</t>
  </si>
  <si>
    <t>C++ with one pos[0] piece per process - December 2025</t>
  </si>
  <si>
    <t>Type</t>
  </si>
  <si>
    <t>Pinned corner</t>
  </si>
  <si>
    <t>Edge, one per process</t>
  </si>
  <si>
    <t>There are 7 edge pieces with 6/9 variants. One of these is invalid for the pinned corner. Leaving 14 + 5 variants with two orientations being worked by 11 processes</t>
  </si>
  <si>
    <t>Corner</t>
  </si>
  <si>
    <t>One corner (1-3-1) has been pinned, leaving 7. Of these, 4 corners have 6/9 variants. So there's 4 * 2 + 3 = 11 variants and 3 orientations</t>
  </si>
  <si>
    <t>Edge</t>
  </si>
  <si>
    <t>One of the 19 edge piece variants was picked by L1, leaving ~18 options to go x 2 orientations</t>
  </si>
  <si>
    <t>Time for all variants at this level</t>
  </si>
  <si>
    <t>variants (est)</t>
  </si>
  <si>
    <t>The 2024 run above shows that maybe there are only ~24 valid variants of the 11 edge pieces</t>
  </si>
  <si>
    <t>So update the green cell once level 2 results known</t>
  </si>
  <si>
    <t xml:space="preserve">out-cube8.txt:-- with - 7 - 3 - 5 </t>
  </si>
  <si>
    <t xml:space="preserve">out-cube9.txt:-- with - 3 - 5 - 7 </t>
  </si>
  <si>
    <t>out-cube10.txt:-- with - 3 - 5 - 7</t>
  </si>
  <si>
    <t>out-cube11.txt:-- with - 7 - 3 - 5</t>
  </si>
  <si>
    <t>out-cube12.txt:-- with - 7 - 3 - 5</t>
  </si>
  <si>
    <t>out-cube12.txt:-- with - 3 - 5 - 7</t>
  </si>
  <si>
    <t>out-cube12.txt:-- with - 4 - 2 - 2</t>
  </si>
  <si>
    <t>out-cube13.txt:-- with - 3 - 5 - 7</t>
  </si>
  <si>
    <t>out-cube13.txt:-- with - 5 - 7 - 3</t>
  </si>
  <si>
    <t>out-cube13.txt:-- with - 4 - 2 - 2</t>
  </si>
  <si>
    <t>out-cube14.txt:-- with - 3 - 5 - 7</t>
  </si>
  <si>
    <t>out-cube14.txt:-- with - 5 - 7 - 3</t>
  </si>
  <si>
    <t>out-cube14.txt:-- with - 4 - 2 - 2</t>
  </si>
  <si>
    <t>time</t>
  </si>
  <si>
    <t>solutions</t>
  </si>
  <si>
    <t>TOTAL</t>
  </si>
  <si>
    <t>Average time</t>
  </si>
  <si>
    <t>solutions per second</t>
  </si>
  <si>
    <t>Comparing workload across the various cube processes</t>
  </si>
  <si>
    <t>stop_depth 9</t>
  </si>
  <si>
    <t xml:space="preserve"> cube #10</t>
  </si>
  <si>
    <t xml:space="preserve"> cube #11</t>
  </si>
  <si>
    <t xml:space="preserve"> cube #12</t>
  </si>
  <si>
    <t xml:space="preserve"> cube #13</t>
  </si>
  <si>
    <t xml:space="preserve"> cube #14</t>
  </si>
  <si>
    <t xml:space="preserve"> cube #15</t>
  </si>
  <si>
    <t xml:space="preserve"> cube #16</t>
  </si>
  <si>
    <t xml:space="preserve"> cube #17</t>
  </si>
  <si>
    <t xml:space="preserve"> cube #18</t>
  </si>
  <si>
    <t xml:space="preserve"> cube #7</t>
  </si>
  <si>
    <t xml:space="preserve"> cube #8</t>
  </si>
  <si>
    <t xml:space="preserve"> cube #9</t>
  </si>
  <si>
    <t>valid variants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</si>
</sst>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000"/>
    <numFmt numFmtId="166" formatCode="_(* #,##0.0_);_(* \(#,##0.0\);_(* &quot;-&quot;??_);_(@_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64" fontId="0" fillId="0" borderId="0" xfId="1" applyNumberFormat="1" applyFont="1"/>
    <xf numFmtId="43" fontId="0" fillId="0" borderId="0" xfId="0" applyNumberFormat="1"/>
    <xf numFmtId="0" fontId="0" fillId="33" borderId="0" xfId="0" applyFill="1"/>
    <xf numFmtId="0" fontId="0" fillId="0" borderId="0" xfId="0" quotePrefix="1"/>
    <xf numFmtId="43" fontId="0" fillId="0" borderId="0" xfId="1" applyFont="1"/>
    <xf numFmtId="0" fontId="0" fillId="34" borderId="0" xfId="0" applyFill="1" applyAlignment="1">
      <alignment horizontal="center"/>
    </xf>
    <xf numFmtId="165" fontId="0" fillId="0" borderId="0" xfId="0" applyNumberFormat="1"/>
    <xf numFmtId="166" fontId="0" fillId="0" borderId="0" xfId="1" applyNumberFormat="1" applyFont="1"/>
    <xf numFmtId="0" fontId="0" fillId="35" borderId="0" xfId="0" applyFill="1"/>
    <xf numFmtId="164" fontId="0" fillId="34" borderId="0" xfId="1" applyNumberFormat="1" applyFont="1" applyFill="1"/>
    <xf numFmtId="15" fontId="0" fillId="0" borderId="0" xfId="0" applyNumberFormat="1"/>
    <xf numFmtId="3" fontId="0" fillId="0" borderId="0" xfId="0" applyNumberFormat="1"/>
    <xf numFmtId="164" fontId="0" fillId="0" borderId="0" xfId="0" applyNumberFormat="1"/>
    <xf numFmtId="15" fontId="0" fillId="34" borderId="0" xfId="0" applyNumberFormat="1" applyFill="1"/>
    <xf numFmtId="0" fontId="0" fillId="34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stop_depth!$B$3:$B$14</c:f>
              <c:strCache>
                <c:ptCount val="12"/>
                <c:pt idx="0">
                  <c:v> cube #7</c:v>
                </c:pt>
                <c:pt idx="1">
                  <c:v> cube #8</c:v>
                </c:pt>
                <c:pt idx="2">
                  <c:v> cube #9</c:v>
                </c:pt>
                <c:pt idx="3">
                  <c:v> cube #10</c:v>
                </c:pt>
                <c:pt idx="4">
                  <c:v> cube #11</c:v>
                </c:pt>
                <c:pt idx="5">
                  <c:v> cube #12</c:v>
                </c:pt>
                <c:pt idx="6">
                  <c:v> cube #13</c:v>
                </c:pt>
                <c:pt idx="7">
                  <c:v> cube #14</c:v>
                </c:pt>
                <c:pt idx="8">
                  <c:v> cube #15</c:v>
                </c:pt>
                <c:pt idx="9">
                  <c:v> cube #16</c:v>
                </c:pt>
                <c:pt idx="10">
                  <c:v> cube #17</c:v>
                </c:pt>
                <c:pt idx="11">
                  <c:v> cube #18</c:v>
                </c:pt>
              </c:strCache>
            </c:strRef>
          </c:cat>
          <c:val>
            <c:numRef>
              <c:f>stop_depth!$C$3:$C$14</c:f>
              <c:numCache>
                <c:formatCode>General</c:formatCode>
                <c:ptCount val="12"/>
                <c:pt idx="0">
                  <c:v>0</c:v>
                </c:pt>
                <c:pt idx="1">
                  <c:v>5385612</c:v>
                </c:pt>
                <c:pt idx="2">
                  <c:v>6040982</c:v>
                </c:pt>
                <c:pt idx="3">
                  <c:v>6233496</c:v>
                </c:pt>
                <c:pt idx="4">
                  <c:v>6383600</c:v>
                </c:pt>
                <c:pt idx="5">
                  <c:v>8717740</c:v>
                </c:pt>
                <c:pt idx="6">
                  <c:v>8717740</c:v>
                </c:pt>
                <c:pt idx="7">
                  <c:v>9525790</c:v>
                </c:pt>
                <c:pt idx="8">
                  <c:v>11265022</c:v>
                </c:pt>
                <c:pt idx="9">
                  <c:v>6823478</c:v>
                </c:pt>
                <c:pt idx="10">
                  <c:v>9525790</c:v>
                </c:pt>
                <c:pt idx="11">
                  <c:v>10022738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BE-EC44-BADD-06F4BD56A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5324544"/>
        <c:axId val="475552080"/>
      </c:barChart>
      <c:catAx>
        <c:axId val="4753245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552080"/>
        <c:crosses val="autoZero"/>
        <c:auto val="0"/>
        <c:lblAlgn val="ctr"/>
        <c:lblOffset val="100"/>
        <c:noMultiLvlLbl val="0"/>
      </c:catAx>
      <c:valAx>
        <c:axId val="47555208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32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812800</xdr:colOff>
      <xdr:row>1</xdr:row>
      <xdr:rowOff>38100</xdr:rowOff>
    </xdr:from>
    <xdr:to>
      <xdr:col>15</xdr:col>
      <xdr:colOff>139700</xdr:colOff>
      <xdr:row>32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27C08C-6AC7-5195-7B51-F999D2901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opLeftCell="A32" zoomScale="125" zoomScaleNormal="125" workbookViewId="0">
      <selection activeCell="B61" sqref="B61"/>
    </sheetView>
  </sheetViews>
  <sheetFormatPr baseColWidth="10" defaultRowHeight="16" x14ac:dyDescent="0.2"/>
  <cols>
    <col min="2" max="2" width="19.6640625" customWidth="1"/>
    <col min="3" max="3" width="14.33203125" customWidth="1"/>
    <col min="6" max="6" width="11.5" bestFit="1" customWidth="1"/>
  </cols>
  <sheetData>
    <row r="1" spans="1:10" x14ac:dyDescent="0.2">
      <c r="A1" s="3" t="s">
        <v>0</v>
      </c>
      <c r="B1" s="3"/>
      <c r="C1" s="3" t="s">
        <v>4</v>
      </c>
      <c r="D1" s="3" t="s">
        <v>1</v>
      </c>
      <c r="E1" s="3"/>
      <c r="F1" s="3"/>
      <c r="G1" s="3"/>
      <c r="H1" s="3"/>
      <c r="I1" s="3"/>
    </row>
    <row r="2" spans="1:10" x14ac:dyDescent="0.2">
      <c r="A2">
        <v>0</v>
      </c>
      <c r="C2">
        <v>1</v>
      </c>
      <c r="D2" s="1">
        <f t="shared" ref="D2:D5" si="0">C2*D3</f>
        <v>3335640</v>
      </c>
      <c r="E2" t="s">
        <v>2</v>
      </c>
      <c r="F2" s="1">
        <f>D2/24</f>
        <v>138985</v>
      </c>
      <c r="G2" t="s">
        <v>3</v>
      </c>
      <c r="H2" s="2">
        <f>F2/365</f>
        <v>380.78082191780823</v>
      </c>
      <c r="I2" t="s">
        <v>5</v>
      </c>
    </row>
    <row r="3" spans="1:10" x14ac:dyDescent="0.2">
      <c r="A3">
        <v>1</v>
      </c>
      <c r="C3">
        <v>38</v>
      </c>
      <c r="D3" s="1">
        <f t="shared" si="0"/>
        <v>3335640</v>
      </c>
      <c r="E3" t="s">
        <v>2</v>
      </c>
    </row>
    <row r="4" spans="1:10" x14ac:dyDescent="0.2">
      <c r="A4">
        <v>2</v>
      </c>
      <c r="C4">
        <v>33</v>
      </c>
      <c r="D4" s="1">
        <f t="shared" si="0"/>
        <v>87780</v>
      </c>
      <c r="E4" t="s">
        <v>2</v>
      </c>
    </row>
    <row r="5" spans="1:10" x14ac:dyDescent="0.2">
      <c r="A5">
        <v>3</v>
      </c>
      <c r="C5">
        <v>38</v>
      </c>
      <c r="D5" s="1">
        <f t="shared" si="0"/>
        <v>2660</v>
      </c>
      <c r="E5" t="s">
        <v>2</v>
      </c>
    </row>
    <row r="6" spans="1:10" x14ac:dyDescent="0.2">
      <c r="A6">
        <v>4</v>
      </c>
      <c r="C6">
        <v>7</v>
      </c>
      <c r="D6" s="1">
        <f>C6*D7</f>
        <v>70</v>
      </c>
      <c r="E6" t="s">
        <v>2</v>
      </c>
      <c r="J6" s="4"/>
    </row>
    <row r="7" spans="1:10" x14ac:dyDescent="0.2">
      <c r="A7">
        <v>5</v>
      </c>
      <c r="C7">
        <v>38</v>
      </c>
      <c r="D7" s="1">
        <v>10</v>
      </c>
      <c r="E7" t="s">
        <v>2</v>
      </c>
      <c r="J7" s="4"/>
    </row>
    <row r="8" spans="1:10" x14ac:dyDescent="0.2">
      <c r="A8">
        <v>6</v>
      </c>
      <c r="C8">
        <v>33</v>
      </c>
      <c r="D8" s="1"/>
    </row>
    <row r="9" spans="1:10" x14ac:dyDescent="0.2">
      <c r="A9">
        <v>7</v>
      </c>
      <c r="C9">
        <v>38</v>
      </c>
      <c r="D9" s="1"/>
    </row>
    <row r="10" spans="1:10" x14ac:dyDescent="0.2">
      <c r="A10">
        <v>8</v>
      </c>
      <c r="C10">
        <v>33</v>
      </c>
      <c r="D10" s="1"/>
    </row>
    <row r="13" spans="1:10" x14ac:dyDescent="0.2">
      <c r="A13" t="s">
        <v>6</v>
      </c>
    </row>
    <row r="15" spans="1:10" x14ac:dyDescent="0.2">
      <c r="A15" s="3" t="s">
        <v>0</v>
      </c>
      <c r="B15" s="3"/>
      <c r="C15" s="3" t="s">
        <v>4</v>
      </c>
      <c r="D15" s="3" t="s">
        <v>1</v>
      </c>
      <c r="E15" s="3"/>
      <c r="F15" s="3"/>
      <c r="G15" s="3"/>
      <c r="H15" s="3"/>
      <c r="I15" s="3"/>
    </row>
    <row r="16" spans="1:10" x14ac:dyDescent="0.2">
      <c r="A16">
        <v>0</v>
      </c>
      <c r="C16">
        <v>1</v>
      </c>
      <c r="D16" s="1">
        <f t="shared" ref="D16:D19" si="1">C16*D17</f>
        <v>725760</v>
      </c>
      <c r="E16" t="s">
        <v>2</v>
      </c>
      <c r="F16" s="1">
        <f>D16/24</f>
        <v>30240</v>
      </c>
      <c r="G16" t="s">
        <v>3</v>
      </c>
      <c r="H16" s="2">
        <f>F16/365</f>
        <v>82.849315068493155</v>
      </c>
      <c r="I16" t="s">
        <v>5</v>
      </c>
    </row>
    <row r="17" spans="1:13" x14ac:dyDescent="0.2">
      <c r="A17">
        <v>1</v>
      </c>
      <c r="C17">
        <v>24</v>
      </c>
      <c r="D17" s="1">
        <f t="shared" si="1"/>
        <v>725760</v>
      </c>
      <c r="E17" t="s">
        <v>2</v>
      </c>
    </row>
    <row r="18" spans="1:13" x14ac:dyDescent="0.2">
      <c r="A18">
        <v>2</v>
      </c>
      <c r="C18">
        <v>21</v>
      </c>
      <c r="D18" s="1">
        <f t="shared" si="1"/>
        <v>30240</v>
      </c>
      <c r="E18" t="s">
        <v>2</v>
      </c>
    </row>
    <row r="19" spans="1:13" x14ac:dyDescent="0.2">
      <c r="A19">
        <v>3</v>
      </c>
      <c r="C19">
        <v>24</v>
      </c>
      <c r="D19" s="1">
        <f t="shared" si="1"/>
        <v>1440</v>
      </c>
      <c r="E19" t="s">
        <v>2</v>
      </c>
    </row>
    <row r="20" spans="1:13" x14ac:dyDescent="0.2">
      <c r="A20">
        <v>4</v>
      </c>
      <c r="C20">
        <v>6</v>
      </c>
      <c r="D20" s="1">
        <f>C20*D21</f>
        <v>60</v>
      </c>
      <c r="E20" t="s">
        <v>2</v>
      </c>
      <c r="J20" s="4"/>
    </row>
    <row r="21" spans="1:13" x14ac:dyDescent="0.2">
      <c r="A21">
        <v>5</v>
      </c>
      <c r="C21">
        <v>24</v>
      </c>
      <c r="D21" s="1">
        <v>10</v>
      </c>
      <c r="E21" t="s">
        <v>2</v>
      </c>
      <c r="J21" s="4"/>
    </row>
    <row r="22" spans="1:13" x14ac:dyDescent="0.2">
      <c r="A22">
        <v>6</v>
      </c>
      <c r="C22">
        <v>21</v>
      </c>
      <c r="D22" s="1"/>
    </row>
    <row r="23" spans="1:13" x14ac:dyDescent="0.2">
      <c r="A23">
        <v>7</v>
      </c>
      <c r="C23">
        <v>24</v>
      </c>
      <c r="D23" s="1"/>
    </row>
    <row r="24" spans="1:13" x14ac:dyDescent="0.2">
      <c r="A24">
        <v>8</v>
      </c>
      <c r="C24">
        <v>21</v>
      </c>
      <c r="D24" s="1"/>
      <c r="K24" s="6">
        <v>0</v>
      </c>
      <c r="L24" s="6">
        <v>1</v>
      </c>
      <c r="M24" s="6">
        <v>2</v>
      </c>
    </row>
    <row r="25" spans="1:13" x14ac:dyDescent="0.2">
      <c r="K25" s="6">
        <v>3</v>
      </c>
      <c r="L25" s="6">
        <v>4</v>
      </c>
      <c r="M25" s="6">
        <v>5</v>
      </c>
    </row>
    <row r="26" spans="1:13" x14ac:dyDescent="0.2">
      <c r="K26" s="6">
        <v>6</v>
      </c>
      <c r="L26" s="6">
        <v>7</v>
      </c>
      <c r="M26" s="6">
        <v>8</v>
      </c>
    </row>
    <row r="27" spans="1:13" x14ac:dyDescent="0.2">
      <c r="A27" t="s">
        <v>7</v>
      </c>
    </row>
    <row r="29" spans="1:13" x14ac:dyDescent="0.2">
      <c r="A29" s="3" t="s">
        <v>0</v>
      </c>
      <c r="B29" s="3"/>
      <c r="C29" s="3" t="s">
        <v>4</v>
      </c>
      <c r="D29" s="3" t="s">
        <v>1</v>
      </c>
      <c r="E29" s="3"/>
      <c r="F29" s="3"/>
      <c r="G29" s="3"/>
      <c r="H29" s="3"/>
      <c r="I29" s="3"/>
    </row>
    <row r="30" spans="1:13" x14ac:dyDescent="0.2">
      <c r="A30">
        <v>0</v>
      </c>
      <c r="C30">
        <v>1</v>
      </c>
      <c r="D30" s="1">
        <f t="shared" ref="D30:D33" si="2">C30*D31</f>
        <v>67199.999999999985</v>
      </c>
      <c r="E30" t="s">
        <v>2</v>
      </c>
      <c r="F30" s="1">
        <f>D30/24</f>
        <v>2799.9999999999995</v>
      </c>
      <c r="G30" t="s">
        <v>3</v>
      </c>
      <c r="H30" s="2">
        <f>F30/365</f>
        <v>7.6712328767123275</v>
      </c>
      <c r="I30" t="s">
        <v>5</v>
      </c>
    </row>
    <row r="31" spans="1:13" x14ac:dyDescent="0.2">
      <c r="A31">
        <v>1</v>
      </c>
      <c r="C31">
        <v>24</v>
      </c>
      <c r="D31" s="1">
        <f t="shared" si="2"/>
        <v>67199.999999999985</v>
      </c>
      <c r="E31" t="s">
        <v>2</v>
      </c>
    </row>
    <row r="32" spans="1:13" x14ac:dyDescent="0.2">
      <c r="A32">
        <v>2</v>
      </c>
      <c r="C32">
        <v>21</v>
      </c>
      <c r="D32" s="1">
        <f t="shared" si="2"/>
        <v>2799.9999999999995</v>
      </c>
      <c r="E32" t="s">
        <v>2</v>
      </c>
    </row>
    <row r="33" spans="1:11" x14ac:dyDescent="0.2">
      <c r="A33">
        <v>3</v>
      </c>
      <c r="C33">
        <v>24</v>
      </c>
      <c r="D33" s="1">
        <f t="shared" si="2"/>
        <v>133.33333333333331</v>
      </c>
      <c r="E33" t="s">
        <v>2</v>
      </c>
    </row>
    <row r="34" spans="1:11" x14ac:dyDescent="0.2">
      <c r="A34">
        <v>4</v>
      </c>
      <c r="C34">
        <v>6</v>
      </c>
      <c r="D34" s="1">
        <f>20000/3600</f>
        <v>5.5555555555555554</v>
      </c>
      <c r="E34" t="s">
        <v>2</v>
      </c>
      <c r="J34" s="4"/>
      <c r="K34" s="4" t="s">
        <v>8</v>
      </c>
    </row>
    <row r="35" spans="1:11" x14ac:dyDescent="0.2">
      <c r="A35">
        <v>5</v>
      </c>
      <c r="C35">
        <v>24</v>
      </c>
      <c r="D35" s="5"/>
      <c r="E35" t="s">
        <v>2</v>
      </c>
      <c r="J35" s="4"/>
      <c r="K35" s="4" t="s">
        <v>9</v>
      </c>
    </row>
    <row r="36" spans="1:11" x14ac:dyDescent="0.2">
      <c r="A36">
        <v>6</v>
      </c>
      <c r="C36">
        <v>21</v>
      </c>
      <c r="D36" s="5"/>
    </row>
    <row r="37" spans="1:11" x14ac:dyDescent="0.2">
      <c r="A37">
        <v>7</v>
      </c>
      <c r="C37">
        <v>24</v>
      </c>
      <c r="D37" s="1"/>
    </row>
    <row r="38" spans="1:11" x14ac:dyDescent="0.2">
      <c r="A38">
        <v>8</v>
      </c>
      <c r="C38">
        <v>21</v>
      </c>
      <c r="D38" s="1"/>
    </row>
    <row r="40" spans="1:11" x14ac:dyDescent="0.2">
      <c r="A40" t="s">
        <v>10</v>
      </c>
    </row>
    <row r="42" spans="1:11" x14ac:dyDescent="0.2">
      <c r="A42" s="3" t="s">
        <v>0</v>
      </c>
      <c r="B42" s="3"/>
      <c r="C42" s="3" t="s">
        <v>4</v>
      </c>
      <c r="D42" s="3" t="s">
        <v>1</v>
      </c>
      <c r="E42" s="3"/>
      <c r="F42" s="3"/>
      <c r="G42" s="3"/>
      <c r="H42" s="3"/>
      <c r="I42" s="3"/>
    </row>
    <row r="43" spans="1:11" x14ac:dyDescent="0.2">
      <c r="A43">
        <v>0</v>
      </c>
      <c r="C43">
        <v>1</v>
      </c>
      <c r="D43" s="1">
        <f t="shared" ref="D43:D46" si="3">C43*D44</f>
        <v>21497.279999999999</v>
      </c>
      <c r="E43" t="s">
        <v>2</v>
      </c>
      <c r="F43" s="1">
        <f>D43/24</f>
        <v>895.71999999999991</v>
      </c>
      <c r="G43" t="s">
        <v>3</v>
      </c>
      <c r="H43" s="2">
        <f>F43/365</f>
        <v>2.4540273972602735</v>
      </c>
      <c r="I43" t="s">
        <v>5</v>
      </c>
    </row>
    <row r="44" spans="1:11" x14ac:dyDescent="0.2">
      <c r="A44">
        <v>1</v>
      </c>
      <c r="C44">
        <v>24</v>
      </c>
      <c r="D44" s="1">
        <f t="shared" si="3"/>
        <v>21497.279999999999</v>
      </c>
      <c r="E44" t="s">
        <v>2</v>
      </c>
    </row>
    <row r="45" spans="1:11" x14ac:dyDescent="0.2">
      <c r="A45">
        <v>2</v>
      </c>
      <c r="C45">
        <v>21</v>
      </c>
      <c r="D45" s="1">
        <f t="shared" si="3"/>
        <v>895.72</v>
      </c>
      <c r="E45" t="s">
        <v>2</v>
      </c>
    </row>
    <row r="46" spans="1:11" x14ac:dyDescent="0.2">
      <c r="A46">
        <v>3</v>
      </c>
      <c r="C46">
        <v>24</v>
      </c>
      <c r="D46" s="1">
        <f t="shared" si="3"/>
        <v>42.653333333333336</v>
      </c>
      <c r="E46" t="s">
        <v>2</v>
      </c>
    </row>
    <row r="47" spans="1:11" x14ac:dyDescent="0.2">
      <c r="A47">
        <v>4</v>
      </c>
      <c r="C47">
        <v>6</v>
      </c>
      <c r="D47" s="1">
        <f>6398/3600</f>
        <v>1.7772222222222223</v>
      </c>
      <c r="E47" t="s">
        <v>2</v>
      </c>
      <c r="K47" s="4" t="s">
        <v>11</v>
      </c>
    </row>
    <row r="48" spans="1:11" x14ac:dyDescent="0.2">
      <c r="A48">
        <v>5</v>
      </c>
      <c r="C48">
        <v>24</v>
      </c>
      <c r="D48" s="5"/>
      <c r="K48" s="4" t="s">
        <v>12</v>
      </c>
    </row>
    <row r="49" spans="1:11" x14ac:dyDescent="0.2">
      <c r="A49">
        <v>6</v>
      </c>
      <c r="C49">
        <v>21</v>
      </c>
      <c r="D49" s="5"/>
    </row>
    <row r="50" spans="1:11" x14ac:dyDescent="0.2">
      <c r="A50">
        <v>7</v>
      </c>
      <c r="C50">
        <v>24</v>
      </c>
      <c r="D50" s="1"/>
    </row>
    <row r="51" spans="1:11" x14ac:dyDescent="0.2">
      <c r="A51">
        <v>8</v>
      </c>
      <c r="C51">
        <v>21</v>
      </c>
      <c r="D51" s="1"/>
    </row>
    <row r="53" spans="1:11" x14ac:dyDescent="0.2">
      <c r="A53" t="s">
        <v>13</v>
      </c>
    </row>
    <row r="55" spans="1:11" x14ac:dyDescent="0.2">
      <c r="A55" s="3" t="s">
        <v>0</v>
      </c>
      <c r="B55" s="3" t="s">
        <v>14</v>
      </c>
      <c r="C55" s="3" t="s">
        <v>23</v>
      </c>
      <c r="D55" s="3" t="s">
        <v>22</v>
      </c>
      <c r="E55" s="3"/>
      <c r="F55" s="3"/>
      <c r="G55" s="3"/>
      <c r="H55" s="3"/>
      <c r="I55" s="3"/>
    </row>
    <row r="56" spans="1:11" x14ac:dyDescent="0.2">
      <c r="A56">
        <v>0</v>
      </c>
      <c r="B56" t="s">
        <v>15</v>
      </c>
      <c r="C56">
        <v>1</v>
      </c>
      <c r="D56" s="1">
        <f t="shared" ref="D56:D58" si="4">C56*D57</f>
        <v>2346</v>
      </c>
      <c r="E56" t="s">
        <v>2</v>
      </c>
      <c r="F56" s="1">
        <f>D56/24</f>
        <v>97.75</v>
      </c>
      <c r="G56" t="s">
        <v>3</v>
      </c>
      <c r="H56" s="2">
        <f>F56/365</f>
        <v>0.26780821917808217</v>
      </c>
      <c r="I56" t="s">
        <v>5</v>
      </c>
    </row>
    <row r="57" spans="1:11" x14ac:dyDescent="0.2">
      <c r="A57">
        <v>1</v>
      </c>
      <c r="B57" s="9" t="s">
        <v>16</v>
      </c>
      <c r="C57" s="7">
        <f>17/11*2</f>
        <v>3.0909090909090908</v>
      </c>
      <c r="D57" s="1">
        <f t="shared" si="4"/>
        <v>2346</v>
      </c>
      <c r="E57" t="s">
        <v>2</v>
      </c>
      <c r="F57" s="1">
        <f>D57/24</f>
        <v>97.75</v>
      </c>
      <c r="G57" t="s">
        <v>3</v>
      </c>
      <c r="K57" t="s">
        <v>17</v>
      </c>
    </row>
    <row r="58" spans="1:11" x14ac:dyDescent="0.2">
      <c r="A58">
        <v>2</v>
      </c>
      <c r="B58" t="s">
        <v>18</v>
      </c>
      <c r="C58">
        <f>11*3</f>
        <v>33</v>
      </c>
      <c r="D58" s="1">
        <f t="shared" si="4"/>
        <v>759</v>
      </c>
      <c r="E58" t="s">
        <v>2</v>
      </c>
      <c r="F58" s="1">
        <f>D58/24</f>
        <v>31.625</v>
      </c>
      <c r="G58" t="s">
        <v>3</v>
      </c>
      <c r="K58" t="s">
        <v>19</v>
      </c>
    </row>
    <row r="59" spans="1:11" x14ac:dyDescent="0.2">
      <c r="A59">
        <v>3</v>
      </c>
      <c r="B59" t="s">
        <v>20</v>
      </c>
      <c r="C59">
        <v>24</v>
      </c>
      <c r="D59" s="10">
        <v>23</v>
      </c>
      <c r="E59" t="s">
        <v>2</v>
      </c>
      <c r="F59" s="8">
        <f>D59/24</f>
        <v>0.95833333333333337</v>
      </c>
      <c r="G59" t="s">
        <v>3</v>
      </c>
      <c r="K59" t="s">
        <v>21</v>
      </c>
    </row>
    <row r="60" spans="1:11" x14ac:dyDescent="0.2">
      <c r="D60" s="1"/>
      <c r="K60" t="s">
        <v>24</v>
      </c>
    </row>
    <row r="61" spans="1:11" x14ac:dyDescent="0.2">
      <c r="K61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3B428-EAFB-5246-93AF-14E339590B2B}">
  <dimension ref="A1:G19"/>
  <sheetViews>
    <sheetView workbookViewId="0">
      <selection activeCell="A9" sqref="A9:XFD9"/>
    </sheetView>
  </sheetViews>
  <sheetFormatPr baseColWidth="10" defaultRowHeight="16" x14ac:dyDescent="0.2"/>
  <cols>
    <col min="1" max="1" width="31.83203125" customWidth="1"/>
    <col min="3" max="3" width="26.33203125" style="1" customWidth="1"/>
  </cols>
  <sheetData>
    <row r="1" spans="1:7" ht="17" customHeight="1" x14ac:dyDescent="0.2">
      <c r="A1" s="14">
        <v>46023</v>
      </c>
      <c r="B1" s="15" t="s">
        <v>39</v>
      </c>
      <c r="C1" s="10" t="s">
        <v>40</v>
      </c>
      <c r="D1" s="11"/>
    </row>
    <row r="2" spans="1:7" x14ac:dyDescent="0.2">
      <c r="A2" t="s">
        <v>26</v>
      </c>
      <c r="B2">
        <v>121891.048</v>
      </c>
      <c r="C2" s="1">
        <v>65473163264</v>
      </c>
      <c r="G2" s="12"/>
    </row>
    <row r="3" spans="1:7" x14ac:dyDescent="0.2">
      <c r="A3" t="s">
        <v>27</v>
      </c>
      <c r="B3">
        <v>80736.92</v>
      </c>
      <c r="C3" s="1">
        <v>38955118592</v>
      </c>
      <c r="G3" s="13"/>
    </row>
    <row r="4" spans="1:7" x14ac:dyDescent="0.2">
      <c r="A4" t="s">
        <v>28</v>
      </c>
      <c r="B4">
        <v>72396.94</v>
      </c>
      <c r="C4" s="1">
        <v>32622742528</v>
      </c>
    </row>
    <row r="5" spans="1:7" x14ac:dyDescent="0.2">
      <c r="A5" t="s">
        <v>29</v>
      </c>
      <c r="B5">
        <v>64844.250999999997</v>
      </c>
      <c r="C5" s="1">
        <v>29704595456</v>
      </c>
    </row>
    <row r="6" spans="1:7" x14ac:dyDescent="0.2">
      <c r="A6" t="s">
        <v>30</v>
      </c>
      <c r="B6">
        <v>41221.292000000001</v>
      </c>
      <c r="C6" s="1">
        <v>17103035136</v>
      </c>
    </row>
    <row r="7" spans="1:7" x14ac:dyDescent="0.2">
      <c r="A7" t="s">
        <v>31</v>
      </c>
      <c r="B7">
        <v>83229.520999999993</v>
      </c>
      <c r="C7" s="1">
        <v>34123643648</v>
      </c>
    </row>
    <row r="8" spans="1:7" ht="17" customHeight="1" x14ac:dyDescent="0.2">
      <c r="A8" t="s">
        <v>32</v>
      </c>
      <c r="B8">
        <v>122172.33100000001</v>
      </c>
      <c r="C8" s="1">
        <v>46714152192</v>
      </c>
    </row>
    <row r="9" spans="1:7" x14ac:dyDescent="0.2">
      <c r="A9" t="s">
        <v>33</v>
      </c>
      <c r="B9">
        <v>38352</v>
      </c>
      <c r="C9" s="1">
        <v>16270033408</v>
      </c>
    </row>
    <row r="10" spans="1:7" x14ac:dyDescent="0.2">
      <c r="A10" t="s">
        <v>34</v>
      </c>
      <c r="B10">
        <v>84768.096999999994</v>
      </c>
      <c r="C10" s="1">
        <v>36207573504</v>
      </c>
    </row>
    <row r="11" spans="1:7" x14ac:dyDescent="0.2">
      <c r="A11" t="s">
        <v>35</v>
      </c>
      <c r="B11">
        <v>121017.13800000001</v>
      </c>
      <c r="C11" s="1">
        <v>48175673600</v>
      </c>
    </row>
    <row r="12" spans="1:7" x14ac:dyDescent="0.2">
      <c r="A12" t="s">
        <v>36</v>
      </c>
      <c r="B12">
        <v>43167.360000000001</v>
      </c>
      <c r="C12" s="1">
        <v>17750680064</v>
      </c>
    </row>
    <row r="13" spans="1:7" x14ac:dyDescent="0.2">
      <c r="A13" t="s">
        <v>37</v>
      </c>
      <c r="B13">
        <v>83740.347999999998</v>
      </c>
      <c r="C13" s="1">
        <v>34752132096</v>
      </c>
    </row>
    <row r="14" spans="1:7" x14ac:dyDescent="0.2">
      <c r="A14" t="s">
        <v>38</v>
      </c>
      <c r="B14">
        <v>121892.86500000001</v>
      </c>
      <c r="C14" s="1">
        <v>46947904512</v>
      </c>
    </row>
    <row r="16" spans="1:7" x14ac:dyDescent="0.2">
      <c r="A16" t="s">
        <v>41</v>
      </c>
      <c r="B16">
        <f>SUM(B2:B14)</f>
        <v>1079430.111</v>
      </c>
      <c r="C16" s="1">
        <f>SUM(C2:C14)</f>
        <v>464800448000</v>
      </c>
    </row>
    <row r="17" spans="1:3" x14ac:dyDescent="0.2">
      <c r="A17" t="s">
        <v>42</v>
      </c>
      <c r="B17">
        <f>B16/13</f>
        <v>83033.08546153846</v>
      </c>
    </row>
    <row r="18" spans="1:3" x14ac:dyDescent="0.2">
      <c r="A18" t="s">
        <v>2</v>
      </c>
      <c r="B18">
        <f>B17/60/60</f>
        <v>23.06474596153846</v>
      </c>
    </row>
    <row r="19" spans="1:3" x14ac:dyDescent="0.2">
      <c r="A19" t="s">
        <v>43</v>
      </c>
      <c r="C19" s="1">
        <f>C16/B17</f>
        <v>5597774.0128096165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6151-8F1F-BD4A-8426-7CCCBA0A8E1C}">
  <dimension ref="A1:C14"/>
  <sheetViews>
    <sheetView tabSelected="1" workbookViewId="0">
      <selection activeCell="C14" sqref="B3:C14"/>
    </sheetView>
  </sheetViews>
  <sheetFormatPr baseColWidth="10" defaultRowHeight="16" x14ac:dyDescent="0.2"/>
  <cols>
    <col min="1" max="1" width="18.33203125" customWidth="1"/>
  </cols>
  <sheetData>
    <row r="1" spans="1:3" x14ac:dyDescent="0.2">
      <c r="A1" t="s">
        <v>44</v>
      </c>
    </row>
    <row r="2" spans="1:3" x14ac:dyDescent="0.2">
      <c r="C2" t="s">
        <v>58</v>
      </c>
    </row>
    <row r="3" spans="1:3" x14ac:dyDescent="0.2">
      <c r="A3" t="s">
        <v>45</v>
      </c>
      <c r="B3" t="s">
        <v>55</v>
      </c>
      <c r="C3">
        <v>0</v>
      </c>
    </row>
    <row r="4" spans="1:3" x14ac:dyDescent="0.2">
      <c r="A4" t="s">
        <v>45</v>
      </c>
      <c r="B4" t="s">
        <v>56</v>
      </c>
      <c r="C4">
        <v>5385612</v>
      </c>
    </row>
    <row r="5" spans="1:3" x14ac:dyDescent="0.2">
      <c r="A5" t="s">
        <v>45</v>
      </c>
      <c r="B5" t="s">
        <v>57</v>
      </c>
      <c r="C5">
        <v>6040982</v>
      </c>
    </row>
    <row r="6" spans="1:3" x14ac:dyDescent="0.2">
      <c r="A6" t="s">
        <v>45</v>
      </c>
      <c r="B6" t="s">
        <v>46</v>
      </c>
      <c r="C6">
        <v>6233496</v>
      </c>
    </row>
    <row r="7" spans="1:3" x14ac:dyDescent="0.2">
      <c r="A7" t="s">
        <v>45</v>
      </c>
      <c r="B7" t="s">
        <v>47</v>
      </c>
      <c r="C7">
        <v>6383600</v>
      </c>
    </row>
    <row r="8" spans="1:3" x14ac:dyDescent="0.2">
      <c r="A8" t="s">
        <v>45</v>
      </c>
      <c r="B8" t="s">
        <v>48</v>
      </c>
      <c r="C8">
        <v>8717740</v>
      </c>
    </row>
    <row r="9" spans="1:3" x14ac:dyDescent="0.2">
      <c r="A9" t="s">
        <v>45</v>
      </c>
      <c r="B9" t="s">
        <v>49</v>
      </c>
      <c r="C9">
        <v>8717740</v>
      </c>
    </row>
    <row r="10" spans="1:3" x14ac:dyDescent="0.2">
      <c r="A10" t="s">
        <v>45</v>
      </c>
      <c r="B10" t="s">
        <v>50</v>
      </c>
      <c r="C10">
        <v>9525790</v>
      </c>
    </row>
    <row r="11" spans="1:3" x14ac:dyDescent="0.2">
      <c r="A11" t="s">
        <v>45</v>
      </c>
      <c r="B11" t="s">
        <v>51</v>
      </c>
      <c r="C11">
        <v>11265022</v>
      </c>
    </row>
    <row r="12" spans="1:3" x14ac:dyDescent="0.2">
      <c r="A12" t="s">
        <v>45</v>
      </c>
      <c r="B12" t="s">
        <v>52</v>
      </c>
      <c r="C12">
        <v>6823478</v>
      </c>
    </row>
    <row r="13" spans="1:3" x14ac:dyDescent="0.2">
      <c r="A13" t="s">
        <v>45</v>
      </c>
      <c r="B13" t="s">
        <v>53</v>
      </c>
      <c r="C13">
        <v>9525790</v>
      </c>
    </row>
    <row r="14" spans="1:3" x14ac:dyDescent="0.2">
      <c r="A14" t="s">
        <v>45</v>
      </c>
      <c r="B14" t="s">
        <v>54</v>
      </c>
      <c r="C14">
        <v>10022738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combinations of first layer</vt:lpstr>
      <vt:lpstr>C++ speed</vt:lpstr>
      <vt:lpstr>stop_depth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Tuck</dc:creator>
  <cp:lastModifiedBy>Steve Tuck</cp:lastModifiedBy>
  <dcterms:created xsi:type="dcterms:W3CDTF">2024-12-21T09:41:50Z</dcterms:created>
  <dcterms:modified xsi:type="dcterms:W3CDTF">2026-01-01T15:25:36Z</dcterms:modified>
</cp:coreProperties>
</file>