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teve/python/3d-sudoku/"/>
    </mc:Choice>
  </mc:AlternateContent>
  <xr:revisionPtr revIDLastSave="0" documentId="13_ncr:1_{583C9584-47E0-ED4D-A4FF-E3CAB7A9BA36}" xr6:coauthVersionLast="47" xr6:coauthVersionMax="47" xr10:uidLastSave="{00000000-0000-0000-0000-000000000000}"/>
  <bookViews>
    <workbookView xWindow="29600" yWindow="-25780" windowWidth="30240" windowHeight="17640" xr2:uid="{00000000-000D-0000-FFFF-FFFF00000000}"/>
  </bookViews>
  <sheets>
    <sheet name="combinations of first layer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F59" i="1"/>
  <c r="F58" i="1"/>
  <c r="F57" i="1"/>
  <c r="D59" i="1"/>
  <c r="C59" i="1"/>
  <c r="C58" i="1"/>
  <c r="C57" i="1"/>
  <c r="D47" i="1"/>
  <c r="D46" i="1" s="1"/>
  <c r="D45" i="1" s="1"/>
  <c r="D44" i="1" s="1"/>
  <c r="D43" i="1" s="1"/>
  <c r="F43" i="1" s="1"/>
  <c r="H43" i="1" s="1"/>
  <c r="D34" i="1"/>
  <c r="D20" i="1"/>
  <c r="D19" i="1" s="1"/>
  <c r="D18" i="1" s="1"/>
  <c r="D17" i="1" s="1"/>
  <c r="D16" i="1" s="1"/>
  <c r="F16" i="1" s="1"/>
  <c r="H16" i="1" s="1"/>
  <c r="D6" i="1"/>
  <c r="D5" i="1" s="1"/>
  <c r="D4" i="1" s="1"/>
  <c r="D3" i="1" s="1"/>
  <c r="D2" i="1" s="1"/>
  <c r="F2" i="1" s="1"/>
  <c r="H2" i="1" s="1"/>
  <c r="D58" i="1" l="1"/>
  <c r="D57" i="1"/>
  <c r="D56" i="1" s="1"/>
  <c r="F56" i="1" s="1"/>
  <c r="H56" i="1" s="1"/>
  <c r="D33" i="1"/>
  <c r="D32" i="1" s="1"/>
  <c r="D31" i="1" s="1"/>
  <c r="D30" i="1" s="1"/>
  <c r="F30" i="1" s="1"/>
  <c r="H30" i="1" s="1"/>
</calcChain>
</file>

<file path=xl/sharedStrings.xml><?xml version="1.0" encoding="utf-8"?>
<sst xmlns="http://schemas.openxmlformats.org/spreadsheetml/2006/main" count="74" uniqueCount="27">
  <si>
    <t>Pos</t>
  </si>
  <si>
    <t>Time</t>
  </si>
  <si>
    <t>hours</t>
  </si>
  <si>
    <t>days</t>
  </si>
  <si>
    <t>variants</t>
  </si>
  <si>
    <t>years</t>
  </si>
  <si>
    <t>Without 6/9 alternates</t>
  </si>
  <si>
    <t>Pypy3.10 and available set logic</t>
  </si>
  <si>
    <t>--- with - 9 1 - - -	20061.588s	 1,507,742,720 solutions</t>
  </si>
  <si>
    <t>--- with - 6 1 - - -	40029.570s	 3,015,485,440 solutions</t>
  </si>
  <si>
    <t>Rust with bitset + inline</t>
  </si>
  <si>
    <t xml:space="preserve">--- with - 9 1 - - -     6398.358s 1,507,742,720 solutions
</t>
  </si>
  <si>
    <t>--- with - 6 1 - - -     12770.027s 3,015,485,440 solutions</t>
  </si>
  <si>
    <t>C++ with one pos[0] piece per process - December 2025</t>
  </si>
  <si>
    <t>Type</t>
  </si>
  <si>
    <t>Pinned corner</t>
  </si>
  <si>
    <t>Edge, one per process</t>
  </si>
  <si>
    <t>There are 7 edge pieces with 6/9 variants. One of these is invalid for the pinned corner. Leaving 14 + 5 variants with two orientations being worked by 11 processes</t>
  </si>
  <si>
    <t>Corner</t>
  </si>
  <si>
    <t>One corner (1-3-1) has been pinned, leaving 7. Of these, 4 corners have 6/9 variants. So there's 4 * 2 + 3 = 11 variants and 3 orientations</t>
  </si>
  <si>
    <t>Edge</t>
  </si>
  <si>
    <t>One of the 19 edge piece variants was picked by L1, leaving ~18 options to go x 2 orientations</t>
  </si>
  <si>
    <t>Time for all variants at this level</t>
  </si>
  <si>
    <t>variants (est)</t>
  </si>
  <si>
    <t>The 2024 run above shows that maybe there are only ~24 valid variants of the 11 edge pieces</t>
  </si>
  <si>
    <t>So update the green cell once level 2 results known</t>
  </si>
  <si>
    <t>Number of solutions found as of: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</si>
</sst>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000"/>
    <numFmt numFmtId="166" formatCode="_(* #,##0.0_);_(* \(#,##0.0\);_(* &quot;-&quot;??_);_(@_)"/>
  </numFmts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164" fontId="0" fillId="0" borderId="0" xfId="1" applyNumberFormat="1" applyFont="1"/>
    <xf numFmtId="43" fontId="0" fillId="0" borderId="0" xfId="0" applyNumberFormat="1"/>
    <xf numFmtId="0" fontId="0" fillId="33" borderId="0" xfId="0" applyFill="1"/>
    <xf numFmtId="0" fontId="0" fillId="0" borderId="0" xfId="0" quotePrefix="1"/>
    <xf numFmtId="43" fontId="0" fillId="0" borderId="0" xfId="1" applyFont="1"/>
    <xf numFmtId="0" fontId="0" fillId="34" borderId="0" xfId="0" applyFill="1" applyAlignment="1">
      <alignment horizontal="center"/>
    </xf>
    <xf numFmtId="165" fontId="0" fillId="0" borderId="0" xfId="0" applyNumberFormat="1"/>
    <xf numFmtId="166" fontId="0" fillId="0" borderId="0" xfId="1" applyNumberFormat="1" applyFont="1"/>
    <xf numFmtId="0" fontId="0" fillId="35" borderId="0" xfId="0" applyFill="1"/>
    <xf numFmtId="164" fontId="0" fillId="34" borderId="0" xfId="1" applyNumberFormat="1" applyFont="1" applyFill="1"/>
    <xf numFmtId="15" fontId="0" fillId="0" borderId="0" xfId="0" applyNumberForma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1"/>
  <sheetViews>
    <sheetView tabSelected="1" topLeftCell="A35" zoomScale="125" zoomScaleNormal="125" workbookViewId="0">
      <selection activeCell="F56" sqref="F56"/>
    </sheetView>
  </sheetViews>
  <sheetFormatPr baseColWidth="10" defaultRowHeight="16" x14ac:dyDescent="0.2"/>
  <cols>
    <col min="2" max="2" width="19.6640625" customWidth="1"/>
    <col min="3" max="3" width="14.33203125" customWidth="1"/>
    <col min="6" max="6" width="11.5" bestFit="1" customWidth="1"/>
  </cols>
  <sheetData>
    <row r="1" spans="1:10" x14ac:dyDescent="0.2">
      <c r="A1" s="3" t="s">
        <v>0</v>
      </c>
      <c r="B1" s="3"/>
      <c r="C1" s="3" t="s">
        <v>4</v>
      </c>
      <c r="D1" s="3" t="s">
        <v>1</v>
      </c>
      <c r="E1" s="3"/>
      <c r="F1" s="3"/>
      <c r="G1" s="3"/>
      <c r="H1" s="3"/>
      <c r="I1" s="3"/>
    </row>
    <row r="2" spans="1:10" x14ac:dyDescent="0.2">
      <c r="A2">
        <v>0</v>
      </c>
      <c r="C2">
        <v>1</v>
      </c>
      <c r="D2" s="1">
        <f t="shared" ref="D2:D5" si="0">C2*D3</f>
        <v>3335640</v>
      </c>
      <c r="E2" t="s">
        <v>2</v>
      </c>
      <c r="F2" s="1">
        <f>D2/24</f>
        <v>138985</v>
      </c>
      <c r="G2" t="s">
        <v>3</v>
      </c>
      <c r="H2" s="2">
        <f>F2/365</f>
        <v>380.78082191780823</v>
      </c>
      <c r="I2" t="s">
        <v>5</v>
      </c>
    </row>
    <row r="3" spans="1:10" x14ac:dyDescent="0.2">
      <c r="A3">
        <v>1</v>
      </c>
      <c r="C3">
        <v>38</v>
      </c>
      <c r="D3" s="1">
        <f t="shared" si="0"/>
        <v>3335640</v>
      </c>
      <c r="E3" t="s">
        <v>2</v>
      </c>
    </row>
    <row r="4" spans="1:10" x14ac:dyDescent="0.2">
      <c r="A4">
        <v>2</v>
      </c>
      <c r="C4">
        <v>33</v>
      </c>
      <c r="D4" s="1">
        <f t="shared" si="0"/>
        <v>87780</v>
      </c>
      <c r="E4" t="s">
        <v>2</v>
      </c>
    </row>
    <row r="5" spans="1:10" x14ac:dyDescent="0.2">
      <c r="A5">
        <v>3</v>
      </c>
      <c r="C5">
        <v>38</v>
      </c>
      <c r="D5" s="1">
        <f t="shared" si="0"/>
        <v>2660</v>
      </c>
      <c r="E5" t="s">
        <v>2</v>
      </c>
    </row>
    <row r="6" spans="1:10" x14ac:dyDescent="0.2">
      <c r="A6">
        <v>4</v>
      </c>
      <c r="C6">
        <v>7</v>
      </c>
      <c r="D6" s="1">
        <f>C6*D7</f>
        <v>70</v>
      </c>
      <c r="E6" t="s">
        <v>2</v>
      </c>
      <c r="J6" s="4"/>
    </row>
    <row r="7" spans="1:10" x14ac:dyDescent="0.2">
      <c r="A7">
        <v>5</v>
      </c>
      <c r="C7">
        <v>38</v>
      </c>
      <c r="D7" s="1">
        <v>10</v>
      </c>
      <c r="E7" t="s">
        <v>2</v>
      </c>
      <c r="J7" s="4"/>
    </row>
    <row r="8" spans="1:10" x14ac:dyDescent="0.2">
      <c r="A8">
        <v>6</v>
      </c>
      <c r="C8">
        <v>33</v>
      </c>
      <c r="D8" s="1"/>
    </row>
    <row r="9" spans="1:10" x14ac:dyDescent="0.2">
      <c r="A9">
        <v>7</v>
      </c>
      <c r="C9">
        <v>38</v>
      </c>
      <c r="D9" s="1"/>
    </row>
    <row r="10" spans="1:10" x14ac:dyDescent="0.2">
      <c r="A10">
        <v>8</v>
      </c>
      <c r="C10">
        <v>33</v>
      </c>
      <c r="D10" s="1"/>
    </row>
    <row r="13" spans="1:10" x14ac:dyDescent="0.2">
      <c r="A13" t="s">
        <v>6</v>
      </c>
    </row>
    <row r="15" spans="1:10" x14ac:dyDescent="0.2">
      <c r="A15" s="3" t="s">
        <v>0</v>
      </c>
      <c r="B15" s="3"/>
      <c r="C15" s="3" t="s">
        <v>4</v>
      </c>
      <c r="D15" s="3" t="s">
        <v>1</v>
      </c>
      <c r="E15" s="3"/>
      <c r="F15" s="3"/>
      <c r="G15" s="3"/>
      <c r="H15" s="3"/>
      <c r="I15" s="3"/>
    </row>
    <row r="16" spans="1:10" x14ac:dyDescent="0.2">
      <c r="A16">
        <v>0</v>
      </c>
      <c r="C16">
        <v>1</v>
      </c>
      <c r="D16" s="1">
        <f t="shared" ref="D16:D19" si="1">C16*D17</f>
        <v>725760</v>
      </c>
      <c r="E16" t="s">
        <v>2</v>
      </c>
      <c r="F16" s="1">
        <f>D16/24</f>
        <v>30240</v>
      </c>
      <c r="G16" t="s">
        <v>3</v>
      </c>
      <c r="H16" s="2">
        <f>F16/365</f>
        <v>82.849315068493155</v>
      </c>
      <c r="I16" t="s">
        <v>5</v>
      </c>
    </row>
    <row r="17" spans="1:13" x14ac:dyDescent="0.2">
      <c r="A17">
        <v>1</v>
      </c>
      <c r="C17">
        <v>24</v>
      </c>
      <c r="D17" s="1">
        <f t="shared" si="1"/>
        <v>725760</v>
      </c>
      <c r="E17" t="s">
        <v>2</v>
      </c>
    </row>
    <row r="18" spans="1:13" x14ac:dyDescent="0.2">
      <c r="A18">
        <v>2</v>
      </c>
      <c r="C18">
        <v>21</v>
      </c>
      <c r="D18" s="1">
        <f t="shared" si="1"/>
        <v>30240</v>
      </c>
      <c r="E18" t="s">
        <v>2</v>
      </c>
    </row>
    <row r="19" spans="1:13" x14ac:dyDescent="0.2">
      <c r="A19">
        <v>3</v>
      </c>
      <c r="C19">
        <v>24</v>
      </c>
      <c r="D19" s="1">
        <f t="shared" si="1"/>
        <v>1440</v>
      </c>
      <c r="E19" t="s">
        <v>2</v>
      </c>
    </row>
    <row r="20" spans="1:13" x14ac:dyDescent="0.2">
      <c r="A20">
        <v>4</v>
      </c>
      <c r="C20">
        <v>6</v>
      </c>
      <c r="D20" s="1">
        <f>C20*D21</f>
        <v>60</v>
      </c>
      <c r="E20" t="s">
        <v>2</v>
      </c>
      <c r="J20" s="4"/>
    </row>
    <row r="21" spans="1:13" x14ac:dyDescent="0.2">
      <c r="A21">
        <v>5</v>
      </c>
      <c r="C21">
        <v>24</v>
      </c>
      <c r="D21" s="1">
        <v>10</v>
      </c>
      <c r="E21" t="s">
        <v>2</v>
      </c>
      <c r="J21" s="4"/>
    </row>
    <row r="22" spans="1:13" x14ac:dyDescent="0.2">
      <c r="A22">
        <v>6</v>
      </c>
      <c r="C22">
        <v>21</v>
      </c>
      <c r="D22" s="1"/>
    </row>
    <row r="23" spans="1:13" x14ac:dyDescent="0.2">
      <c r="A23">
        <v>7</v>
      </c>
      <c r="C23">
        <v>24</v>
      </c>
      <c r="D23" s="1"/>
    </row>
    <row r="24" spans="1:13" x14ac:dyDescent="0.2">
      <c r="A24">
        <v>8</v>
      </c>
      <c r="C24">
        <v>21</v>
      </c>
      <c r="D24" s="1"/>
      <c r="K24" s="6">
        <v>0</v>
      </c>
      <c r="L24" s="6">
        <v>1</v>
      </c>
      <c r="M24" s="6">
        <v>2</v>
      </c>
    </row>
    <row r="25" spans="1:13" x14ac:dyDescent="0.2">
      <c r="K25" s="6">
        <v>3</v>
      </c>
      <c r="L25" s="6">
        <v>4</v>
      </c>
      <c r="M25" s="6">
        <v>5</v>
      </c>
    </row>
    <row r="26" spans="1:13" x14ac:dyDescent="0.2">
      <c r="K26" s="6">
        <v>6</v>
      </c>
      <c r="L26" s="6">
        <v>7</v>
      </c>
      <c r="M26" s="6">
        <v>8</v>
      </c>
    </row>
    <row r="27" spans="1:13" x14ac:dyDescent="0.2">
      <c r="A27" t="s">
        <v>7</v>
      </c>
    </row>
    <row r="29" spans="1:13" x14ac:dyDescent="0.2">
      <c r="A29" s="3" t="s">
        <v>0</v>
      </c>
      <c r="B29" s="3"/>
      <c r="C29" s="3" t="s">
        <v>4</v>
      </c>
      <c r="D29" s="3" t="s">
        <v>1</v>
      </c>
      <c r="E29" s="3"/>
      <c r="F29" s="3"/>
      <c r="G29" s="3"/>
      <c r="H29" s="3"/>
      <c r="I29" s="3"/>
    </row>
    <row r="30" spans="1:13" x14ac:dyDescent="0.2">
      <c r="A30">
        <v>0</v>
      </c>
      <c r="C30">
        <v>1</v>
      </c>
      <c r="D30" s="1">
        <f t="shared" ref="D30:D33" si="2">C30*D31</f>
        <v>67199.999999999985</v>
      </c>
      <c r="E30" t="s">
        <v>2</v>
      </c>
      <c r="F30" s="1">
        <f>D30/24</f>
        <v>2799.9999999999995</v>
      </c>
      <c r="G30" t="s">
        <v>3</v>
      </c>
      <c r="H30" s="2">
        <f>F30/365</f>
        <v>7.6712328767123275</v>
      </c>
      <c r="I30" t="s">
        <v>5</v>
      </c>
    </row>
    <row r="31" spans="1:13" x14ac:dyDescent="0.2">
      <c r="A31">
        <v>1</v>
      </c>
      <c r="C31">
        <v>24</v>
      </c>
      <c r="D31" s="1">
        <f t="shared" si="2"/>
        <v>67199.999999999985</v>
      </c>
      <c r="E31" t="s">
        <v>2</v>
      </c>
    </row>
    <row r="32" spans="1:13" x14ac:dyDescent="0.2">
      <c r="A32">
        <v>2</v>
      </c>
      <c r="C32">
        <v>21</v>
      </c>
      <c r="D32" s="1">
        <f t="shared" si="2"/>
        <v>2799.9999999999995</v>
      </c>
      <c r="E32" t="s">
        <v>2</v>
      </c>
    </row>
    <row r="33" spans="1:11" x14ac:dyDescent="0.2">
      <c r="A33">
        <v>3</v>
      </c>
      <c r="C33">
        <v>24</v>
      </c>
      <c r="D33" s="1">
        <f t="shared" si="2"/>
        <v>133.33333333333331</v>
      </c>
      <c r="E33" t="s">
        <v>2</v>
      </c>
    </row>
    <row r="34" spans="1:11" x14ac:dyDescent="0.2">
      <c r="A34">
        <v>4</v>
      </c>
      <c r="C34">
        <v>6</v>
      </c>
      <c r="D34" s="1">
        <f>20000/3600</f>
        <v>5.5555555555555554</v>
      </c>
      <c r="E34" t="s">
        <v>2</v>
      </c>
      <c r="J34" s="4"/>
      <c r="K34" s="4" t="s">
        <v>8</v>
      </c>
    </row>
    <row r="35" spans="1:11" x14ac:dyDescent="0.2">
      <c r="A35">
        <v>5</v>
      </c>
      <c r="C35">
        <v>24</v>
      </c>
      <c r="D35" s="5"/>
      <c r="E35" t="s">
        <v>2</v>
      </c>
      <c r="J35" s="4"/>
      <c r="K35" s="4" t="s">
        <v>9</v>
      </c>
    </row>
    <row r="36" spans="1:11" x14ac:dyDescent="0.2">
      <c r="A36">
        <v>6</v>
      </c>
      <c r="C36">
        <v>21</v>
      </c>
      <c r="D36" s="5"/>
    </row>
    <row r="37" spans="1:11" x14ac:dyDescent="0.2">
      <c r="A37">
        <v>7</v>
      </c>
      <c r="C37">
        <v>24</v>
      </c>
      <c r="D37" s="1"/>
    </row>
    <row r="38" spans="1:11" x14ac:dyDescent="0.2">
      <c r="A38">
        <v>8</v>
      </c>
      <c r="C38">
        <v>21</v>
      </c>
      <c r="D38" s="1"/>
    </row>
    <row r="40" spans="1:11" x14ac:dyDescent="0.2">
      <c r="A40" t="s">
        <v>10</v>
      </c>
    </row>
    <row r="42" spans="1:11" x14ac:dyDescent="0.2">
      <c r="A42" s="3" t="s">
        <v>0</v>
      </c>
      <c r="B42" s="3"/>
      <c r="C42" s="3" t="s">
        <v>4</v>
      </c>
      <c r="D42" s="3" t="s">
        <v>1</v>
      </c>
      <c r="E42" s="3"/>
      <c r="F42" s="3"/>
      <c r="G42" s="3"/>
      <c r="H42" s="3"/>
      <c r="I42" s="3"/>
    </row>
    <row r="43" spans="1:11" x14ac:dyDescent="0.2">
      <c r="A43">
        <v>0</v>
      </c>
      <c r="C43">
        <v>1</v>
      </c>
      <c r="D43" s="1">
        <f t="shared" ref="D43:D46" si="3">C43*D44</f>
        <v>21497.279999999999</v>
      </c>
      <c r="E43" t="s">
        <v>2</v>
      </c>
      <c r="F43" s="1">
        <f>D43/24</f>
        <v>895.71999999999991</v>
      </c>
      <c r="G43" t="s">
        <v>3</v>
      </c>
      <c r="H43" s="2">
        <f>F43/365</f>
        <v>2.4540273972602735</v>
      </c>
      <c r="I43" t="s">
        <v>5</v>
      </c>
    </row>
    <row r="44" spans="1:11" x14ac:dyDescent="0.2">
      <c r="A44">
        <v>1</v>
      </c>
      <c r="C44">
        <v>24</v>
      </c>
      <c r="D44" s="1">
        <f t="shared" si="3"/>
        <v>21497.279999999999</v>
      </c>
      <c r="E44" t="s">
        <v>2</v>
      </c>
    </row>
    <row r="45" spans="1:11" x14ac:dyDescent="0.2">
      <c r="A45">
        <v>2</v>
      </c>
      <c r="C45">
        <v>21</v>
      </c>
      <c r="D45" s="1">
        <f t="shared" si="3"/>
        <v>895.72</v>
      </c>
      <c r="E45" t="s">
        <v>2</v>
      </c>
    </row>
    <row r="46" spans="1:11" x14ac:dyDescent="0.2">
      <c r="A46">
        <v>3</v>
      </c>
      <c r="C46">
        <v>24</v>
      </c>
      <c r="D46" s="1">
        <f t="shared" si="3"/>
        <v>42.653333333333336</v>
      </c>
      <c r="E46" t="s">
        <v>2</v>
      </c>
    </row>
    <row r="47" spans="1:11" x14ac:dyDescent="0.2">
      <c r="A47">
        <v>4</v>
      </c>
      <c r="C47">
        <v>6</v>
      </c>
      <c r="D47" s="1">
        <f>6398/3600</f>
        <v>1.7772222222222223</v>
      </c>
      <c r="E47" t="s">
        <v>2</v>
      </c>
      <c r="K47" s="4" t="s">
        <v>11</v>
      </c>
    </row>
    <row r="48" spans="1:11" x14ac:dyDescent="0.2">
      <c r="A48">
        <v>5</v>
      </c>
      <c r="C48">
        <v>24</v>
      </c>
      <c r="D48" s="5"/>
      <c r="K48" s="4" t="s">
        <v>12</v>
      </c>
    </row>
    <row r="49" spans="1:11" x14ac:dyDescent="0.2">
      <c r="A49">
        <v>6</v>
      </c>
      <c r="C49">
        <v>21</v>
      </c>
      <c r="D49" s="5"/>
    </row>
    <row r="50" spans="1:11" x14ac:dyDescent="0.2">
      <c r="A50">
        <v>7</v>
      </c>
      <c r="C50">
        <v>24</v>
      </c>
      <c r="D50" s="1"/>
    </row>
    <row r="51" spans="1:11" x14ac:dyDescent="0.2">
      <c r="A51">
        <v>8</v>
      </c>
      <c r="C51">
        <v>21</v>
      </c>
      <c r="D51" s="1"/>
    </row>
    <row r="53" spans="1:11" x14ac:dyDescent="0.2">
      <c r="A53" t="s">
        <v>13</v>
      </c>
    </row>
    <row r="55" spans="1:11" x14ac:dyDescent="0.2">
      <c r="A55" s="3" t="s">
        <v>0</v>
      </c>
      <c r="B55" s="3" t="s">
        <v>14</v>
      </c>
      <c r="C55" s="3" t="s">
        <v>23</v>
      </c>
      <c r="D55" s="3" t="s">
        <v>22</v>
      </c>
      <c r="E55" s="3"/>
      <c r="F55" s="3"/>
      <c r="G55" s="3"/>
      <c r="H55" s="3"/>
      <c r="I55" s="3"/>
    </row>
    <row r="56" spans="1:11" x14ac:dyDescent="0.2">
      <c r="A56">
        <v>0</v>
      </c>
      <c r="B56" t="s">
        <v>15</v>
      </c>
      <c r="C56">
        <v>1</v>
      </c>
      <c r="D56" s="1">
        <f t="shared" ref="D56:D58" si="4">C56*D57</f>
        <v>3672</v>
      </c>
      <c r="E56" t="s">
        <v>2</v>
      </c>
      <c r="F56" s="1">
        <f>D56/24</f>
        <v>153</v>
      </c>
      <c r="G56" t="s">
        <v>3</v>
      </c>
      <c r="H56" s="2">
        <f>F56/365</f>
        <v>0.41917808219178082</v>
      </c>
      <c r="I56" t="s">
        <v>5</v>
      </c>
    </row>
    <row r="57" spans="1:11" x14ac:dyDescent="0.2">
      <c r="A57">
        <v>1</v>
      </c>
      <c r="B57" s="9" t="s">
        <v>16</v>
      </c>
      <c r="C57" s="7">
        <f>17/11*2</f>
        <v>3.0909090909090908</v>
      </c>
      <c r="D57" s="1">
        <f t="shared" si="4"/>
        <v>3672</v>
      </c>
      <c r="E57" t="s">
        <v>2</v>
      </c>
      <c r="F57" s="1">
        <f>D57/24</f>
        <v>153</v>
      </c>
      <c r="G57" t="s">
        <v>3</v>
      </c>
      <c r="K57" t="s">
        <v>17</v>
      </c>
    </row>
    <row r="58" spans="1:11" x14ac:dyDescent="0.2">
      <c r="A58">
        <v>2</v>
      </c>
      <c r="B58" t="s">
        <v>18</v>
      </c>
      <c r="C58">
        <f>11*3</f>
        <v>33</v>
      </c>
      <c r="D58" s="1">
        <f t="shared" si="4"/>
        <v>1188</v>
      </c>
      <c r="E58" t="s">
        <v>2</v>
      </c>
      <c r="F58" s="1">
        <f>D58/24</f>
        <v>49.5</v>
      </c>
      <c r="G58" t="s">
        <v>3</v>
      </c>
      <c r="K58" t="s">
        <v>19</v>
      </c>
    </row>
    <row r="59" spans="1:11" x14ac:dyDescent="0.2">
      <c r="A59">
        <v>3</v>
      </c>
      <c r="B59" t="s">
        <v>20</v>
      </c>
      <c r="C59">
        <f>18*2</f>
        <v>36</v>
      </c>
      <c r="D59" s="10">
        <f>C59*1</f>
        <v>36</v>
      </c>
      <c r="E59" t="s">
        <v>2</v>
      </c>
      <c r="F59" s="8">
        <f>D59/24</f>
        <v>1.5</v>
      </c>
      <c r="G59" t="s">
        <v>3</v>
      </c>
      <c r="K59" t="s">
        <v>21</v>
      </c>
    </row>
    <row r="60" spans="1:11" x14ac:dyDescent="0.2">
      <c r="D60" s="1"/>
      <c r="K60" t="s">
        <v>24</v>
      </c>
    </row>
    <row r="61" spans="1:11" x14ac:dyDescent="0.2">
      <c r="K61" t="s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3B428-EAFB-5246-93AF-14E339590B2B}">
  <dimension ref="A1:D167"/>
  <sheetViews>
    <sheetView workbookViewId="0">
      <selection activeCell="C2" sqref="C2"/>
    </sheetView>
  </sheetViews>
  <sheetFormatPr baseColWidth="10" defaultRowHeight="16" x14ac:dyDescent="0.2"/>
  <cols>
    <col min="1" max="1" width="23.5" customWidth="1"/>
    <col min="3" max="3" width="26.33203125" customWidth="1"/>
  </cols>
  <sheetData>
    <row r="1" spans="1:4" x14ac:dyDescent="0.2">
      <c r="A1" t="s">
        <v>26</v>
      </c>
      <c r="D1" s="11">
        <v>46022</v>
      </c>
    </row>
    <row r="2" spans="1:4" x14ac:dyDescent="0.2">
      <c r="A2">
        <v>1507742720</v>
      </c>
      <c r="C2" s="1">
        <f>SUM(A:A)</f>
        <v>1802287224960</v>
      </c>
    </row>
    <row r="3" spans="1:4" x14ac:dyDescent="0.2">
      <c r="A3">
        <v>3015485440</v>
      </c>
    </row>
    <row r="4" spans="1:4" x14ac:dyDescent="0.2">
      <c r="A4">
        <v>9060120576</v>
      </c>
    </row>
    <row r="5" spans="1:4" x14ac:dyDescent="0.2">
      <c r="A5">
        <v>13107122176</v>
      </c>
    </row>
    <row r="6" spans="1:4" x14ac:dyDescent="0.2">
      <c r="A6">
        <v>18401528832</v>
      </c>
    </row>
    <row r="7" spans="1:4" x14ac:dyDescent="0.2">
      <c r="A7">
        <v>22733276160</v>
      </c>
    </row>
    <row r="8" spans="1:4" x14ac:dyDescent="0.2">
      <c r="A8">
        <v>26625809408</v>
      </c>
    </row>
    <row r="9" spans="1:4" x14ac:dyDescent="0.2">
      <c r="A9">
        <v>29240178688</v>
      </c>
    </row>
    <row r="10" spans="1:4" x14ac:dyDescent="0.2">
      <c r="A10">
        <v>31202620416</v>
      </c>
    </row>
    <row r="11" spans="1:4" x14ac:dyDescent="0.2">
      <c r="A11">
        <v>1197872128</v>
      </c>
    </row>
    <row r="12" spans="1:4" x14ac:dyDescent="0.2">
      <c r="A12">
        <v>2395744256</v>
      </c>
    </row>
    <row r="13" spans="1:4" x14ac:dyDescent="0.2">
      <c r="A13">
        <v>5316920320</v>
      </c>
    </row>
    <row r="14" spans="1:4" x14ac:dyDescent="0.2">
      <c r="A14">
        <v>9260605440</v>
      </c>
    </row>
    <row r="15" spans="1:4" x14ac:dyDescent="0.2">
      <c r="A15">
        <v>11620632576</v>
      </c>
    </row>
    <row r="16" spans="1:4" x14ac:dyDescent="0.2">
      <c r="A16">
        <v>13374720000</v>
      </c>
    </row>
    <row r="17" spans="1:1" x14ac:dyDescent="0.2">
      <c r="A17">
        <v>15302338560</v>
      </c>
    </row>
    <row r="18" spans="1:1" x14ac:dyDescent="0.2">
      <c r="A18">
        <v>16724849408</v>
      </c>
    </row>
    <row r="19" spans="1:1" x14ac:dyDescent="0.2">
      <c r="A19">
        <v>18652467968</v>
      </c>
    </row>
    <row r="20" spans="1:1" x14ac:dyDescent="0.2">
      <c r="A20">
        <v>20074978816</v>
      </c>
    </row>
    <row r="21" spans="1:1" x14ac:dyDescent="0.2">
      <c r="A21">
        <v>21497489664</v>
      </c>
    </row>
    <row r="22" spans="1:1" x14ac:dyDescent="0.2">
      <c r="A22">
        <v>23425108224</v>
      </c>
    </row>
    <row r="23" spans="1:1" x14ac:dyDescent="0.2">
      <c r="A23">
        <v>24847619072</v>
      </c>
    </row>
    <row r="24" spans="1:1" x14ac:dyDescent="0.2">
      <c r="A24">
        <v>26775237632</v>
      </c>
    </row>
    <row r="25" spans="1:1" x14ac:dyDescent="0.2">
      <c r="A25">
        <v>28085941248</v>
      </c>
    </row>
    <row r="26" spans="1:1" x14ac:dyDescent="0.2">
      <c r="A26">
        <v>29396644864</v>
      </c>
    </row>
    <row r="27" spans="1:1" x14ac:dyDescent="0.2">
      <c r="A27">
        <v>984482816</v>
      </c>
    </row>
    <row r="28" spans="1:1" x14ac:dyDescent="0.2">
      <c r="A28">
        <v>1968965632</v>
      </c>
    </row>
    <row r="29" spans="1:1" x14ac:dyDescent="0.2">
      <c r="A29">
        <v>4890141696</v>
      </c>
    </row>
    <row r="30" spans="1:1" x14ac:dyDescent="0.2">
      <c r="A30">
        <v>8315629568</v>
      </c>
    </row>
    <row r="31" spans="1:1" x14ac:dyDescent="0.2">
      <c r="A31">
        <v>9899098112</v>
      </c>
    </row>
    <row r="32" spans="1:1" x14ac:dyDescent="0.2">
      <c r="A32">
        <v>11322875392</v>
      </c>
    </row>
    <row r="33" spans="1:1" x14ac:dyDescent="0.2">
      <c r="A33">
        <v>12580496128</v>
      </c>
    </row>
    <row r="34" spans="1:1" x14ac:dyDescent="0.2">
      <c r="A34">
        <v>14004273408</v>
      </c>
    </row>
    <row r="35" spans="1:1" x14ac:dyDescent="0.2">
      <c r="A35">
        <v>15261894144</v>
      </c>
    </row>
    <row r="36" spans="1:1" x14ac:dyDescent="0.2">
      <c r="A36">
        <v>16519514880</v>
      </c>
    </row>
    <row r="37" spans="1:1" x14ac:dyDescent="0.2">
      <c r="A37">
        <v>17943292160</v>
      </c>
    </row>
    <row r="38" spans="1:1" x14ac:dyDescent="0.2">
      <c r="A38">
        <v>19200912896</v>
      </c>
    </row>
    <row r="39" spans="1:1" x14ac:dyDescent="0.2">
      <c r="A39">
        <v>20624690176</v>
      </c>
    </row>
    <row r="40" spans="1:1" x14ac:dyDescent="0.2">
      <c r="A40">
        <v>21642188800</v>
      </c>
    </row>
    <row r="41" spans="1:1" x14ac:dyDescent="0.2">
      <c r="A41">
        <v>22573712640</v>
      </c>
    </row>
    <row r="42" spans="1:1" x14ac:dyDescent="0.2">
      <c r="A42">
        <v>23591211264</v>
      </c>
    </row>
    <row r="43" spans="1:1" x14ac:dyDescent="0.2">
      <c r="A43">
        <v>24522735104</v>
      </c>
    </row>
    <row r="44" spans="1:1" x14ac:dyDescent="0.2">
      <c r="A44">
        <v>26853128704</v>
      </c>
    </row>
    <row r="45" spans="1:1" x14ac:dyDescent="0.2">
      <c r="A45">
        <v>1504660992</v>
      </c>
    </row>
    <row r="46" spans="1:1" x14ac:dyDescent="0.2">
      <c r="A46">
        <v>3009321984</v>
      </c>
    </row>
    <row r="47" spans="1:1" x14ac:dyDescent="0.2">
      <c r="A47">
        <v>6038397952</v>
      </c>
    </row>
    <row r="48" spans="1:1" x14ac:dyDescent="0.2">
      <c r="A48">
        <v>8843214848</v>
      </c>
    </row>
    <row r="49" spans="1:1" x14ac:dyDescent="0.2">
      <c r="A49">
        <v>11444897792</v>
      </c>
    </row>
    <row r="50" spans="1:1" x14ac:dyDescent="0.2">
      <c r="A50">
        <v>12521877248</v>
      </c>
    </row>
    <row r="51" spans="1:1" x14ac:dyDescent="0.2">
      <c r="A51">
        <v>13503205120</v>
      </c>
    </row>
    <row r="52" spans="1:1" x14ac:dyDescent="0.2">
      <c r="A52">
        <v>14580184576</v>
      </c>
    </row>
    <row r="53" spans="1:1" x14ac:dyDescent="0.2">
      <c r="A53">
        <v>15561512448</v>
      </c>
    </row>
    <row r="54" spans="1:1" x14ac:dyDescent="0.2">
      <c r="A54">
        <v>16542840320</v>
      </c>
    </row>
    <row r="55" spans="1:1" x14ac:dyDescent="0.2">
      <c r="A55">
        <v>17619819776</v>
      </c>
    </row>
    <row r="56" spans="1:1" x14ac:dyDescent="0.2">
      <c r="A56">
        <v>18601147648</v>
      </c>
    </row>
    <row r="57" spans="1:1" x14ac:dyDescent="0.2">
      <c r="A57">
        <v>19678127104</v>
      </c>
    </row>
    <row r="58" spans="1:1" x14ac:dyDescent="0.2">
      <c r="A58">
        <v>20899517440</v>
      </c>
    </row>
    <row r="59" spans="1:1" x14ac:dyDescent="0.2">
      <c r="A59">
        <v>22120907776</v>
      </c>
    </row>
    <row r="60" spans="1:1" x14ac:dyDescent="0.2">
      <c r="A60">
        <v>23574460928</v>
      </c>
    </row>
    <row r="61" spans="1:1" x14ac:dyDescent="0.2">
      <c r="A61">
        <v>25028014080</v>
      </c>
    </row>
    <row r="62" spans="1:1" x14ac:dyDescent="0.2">
      <c r="A62">
        <v>26249404416</v>
      </c>
    </row>
    <row r="63" spans="1:1" x14ac:dyDescent="0.2">
      <c r="A63">
        <v>27470794752</v>
      </c>
    </row>
    <row r="64" spans="1:1" x14ac:dyDescent="0.2">
      <c r="A64">
        <v>879710464</v>
      </c>
    </row>
    <row r="65" spans="1:1" x14ac:dyDescent="0.2">
      <c r="A65">
        <v>1759420928</v>
      </c>
    </row>
    <row r="66" spans="1:1" x14ac:dyDescent="0.2">
      <c r="A66">
        <v>3351168768</v>
      </c>
    </row>
    <row r="67" spans="1:1" x14ac:dyDescent="0.2">
      <c r="A67">
        <v>4956625920</v>
      </c>
    </row>
    <row r="68" spans="1:1" x14ac:dyDescent="0.2">
      <c r="A68">
        <v>6071675136</v>
      </c>
    </row>
    <row r="69" spans="1:1" x14ac:dyDescent="0.2">
      <c r="A69">
        <v>7152737792</v>
      </c>
    </row>
    <row r="70" spans="1:1" x14ac:dyDescent="0.2">
      <c r="A70">
        <v>8015625728</v>
      </c>
    </row>
    <row r="71" spans="1:1" x14ac:dyDescent="0.2">
      <c r="A71">
        <v>8878513664</v>
      </c>
    </row>
    <row r="72" spans="1:1" x14ac:dyDescent="0.2">
      <c r="A72">
        <v>9621929088</v>
      </c>
    </row>
    <row r="73" spans="1:1" x14ac:dyDescent="0.2">
      <c r="A73">
        <v>10365344512</v>
      </c>
    </row>
    <row r="74" spans="1:1" x14ac:dyDescent="0.2">
      <c r="A74">
        <v>11248862848</v>
      </c>
    </row>
    <row r="75" spans="1:1" x14ac:dyDescent="0.2">
      <c r="A75">
        <v>12132381184</v>
      </c>
    </row>
    <row r="76" spans="1:1" x14ac:dyDescent="0.2">
      <c r="A76">
        <v>13430728448</v>
      </c>
    </row>
    <row r="77" spans="1:1" x14ac:dyDescent="0.2">
      <c r="A77">
        <v>14174143872</v>
      </c>
    </row>
    <row r="78" spans="1:1" x14ac:dyDescent="0.2">
      <c r="A78">
        <v>14917559296</v>
      </c>
    </row>
    <row r="79" spans="1:1" x14ac:dyDescent="0.2">
      <c r="A79">
        <v>15445194048</v>
      </c>
    </row>
    <row r="80" spans="1:1" x14ac:dyDescent="0.2">
      <c r="A80">
        <v>16010297216</v>
      </c>
    </row>
    <row r="81" spans="1:1" x14ac:dyDescent="0.2">
      <c r="A81">
        <v>16537931968</v>
      </c>
    </row>
    <row r="82" spans="1:1" x14ac:dyDescent="0.2">
      <c r="A82">
        <v>17103035136</v>
      </c>
    </row>
    <row r="83" spans="1:1" x14ac:dyDescent="0.2">
      <c r="A83">
        <v>626117248</v>
      </c>
    </row>
    <row r="84" spans="1:1" x14ac:dyDescent="0.2">
      <c r="A84">
        <v>1252234496</v>
      </c>
    </row>
    <row r="85" spans="1:1" x14ac:dyDescent="0.2">
      <c r="A85">
        <v>3087836416</v>
      </c>
    </row>
    <row r="86" spans="1:1" x14ac:dyDescent="0.2">
      <c r="A86">
        <v>4743338752</v>
      </c>
    </row>
    <row r="87" spans="1:1" x14ac:dyDescent="0.2">
      <c r="A87">
        <v>5656644352</v>
      </c>
    </row>
    <row r="88" spans="1:1" x14ac:dyDescent="0.2">
      <c r="A88">
        <v>6457907712</v>
      </c>
    </row>
    <row r="89" spans="1:1" x14ac:dyDescent="0.2">
      <c r="A89">
        <v>7240094848</v>
      </c>
    </row>
    <row r="90" spans="1:1" x14ac:dyDescent="0.2">
      <c r="A90">
        <v>8022281984</v>
      </c>
    </row>
    <row r="91" spans="1:1" x14ac:dyDescent="0.2">
      <c r="A91">
        <v>541352192</v>
      </c>
    </row>
    <row r="92" spans="1:1" x14ac:dyDescent="0.2">
      <c r="A92">
        <v>1963863040</v>
      </c>
    </row>
    <row r="93" spans="1:1" x14ac:dyDescent="0.2">
      <c r="A93">
        <v>3569172480</v>
      </c>
    </row>
    <row r="94" spans="1:1" x14ac:dyDescent="0.2">
      <c r="A94">
        <v>4826793216</v>
      </c>
    </row>
    <row r="95" spans="1:1" x14ac:dyDescent="0.2">
      <c r="A95">
        <v>6126177024</v>
      </c>
    </row>
    <row r="96" spans="1:1" x14ac:dyDescent="0.2">
      <c r="A96">
        <v>7037326336</v>
      </c>
    </row>
    <row r="97" spans="1:1" x14ac:dyDescent="0.2">
      <c r="A97">
        <v>7741202944</v>
      </c>
    </row>
    <row r="98" spans="1:1" x14ac:dyDescent="0.2">
      <c r="A98">
        <v>8443325696</v>
      </c>
    </row>
    <row r="99" spans="1:1" x14ac:dyDescent="0.2">
      <c r="A99">
        <v>9037990912</v>
      </c>
    </row>
    <row r="100" spans="1:1" x14ac:dyDescent="0.2">
      <c r="A100">
        <v>9740113664</v>
      </c>
    </row>
    <row r="101" spans="1:1" x14ac:dyDescent="0.2">
      <c r="A101">
        <v>10293179456</v>
      </c>
    </row>
    <row r="102" spans="1:1" x14ac:dyDescent="0.2">
      <c r="A102">
        <v>10846245248</v>
      </c>
    </row>
    <row r="103" spans="1:1" x14ac:dyDescent="0.2">
      <c r="A103">
        <v>11334869888</v>
      </c>
    </row>
    <row r="104" spans="1:1" x14ac:dyDescent="0.2">
      <c r="A104">
        <v>12318354304</v>
      </c>
    </row>
    <row r="105" spans="1:1" x14ac:dyDescent="0.2">
      <c r="A105">
        <v>13330060416</v>
      </c>
    </row>
    <row r="106" spans="1:1" x14ac:dyDescent="0.2">
      <c r="A106">
        <v>13883126208</v>
      </c>
    </row>
    <row r="107" spans="1:1" x14ac:dyDescent="0.2">
      <c r="A107">
        <v>14371750848</v>
      </c>
    </row>
    <row r="108" spans="1:1" x14ac:dyDescent="0.2">
      <c r="A108">
        <v>14924816640</v>
      </c>
    </row>
    <row r="109" spans="1:1" x14ac:dyDescent="0.2">
      <c r="A109">
        <v>15389592128</v>
      </c>
    </row>
    <row r="110" spans="1:1" x14ac:dyDescent="0.2">
      <c r="A110">
        <v>15854367616</v>
      </c>
    </row>
    <row r="111" spans="1:1" x14ac:dyDescent="0.2">
      <c r="A111">
        <v>16270033408</v>
      </c>
    </row>
    <row r="112" spans="1:1" x14ac:dyDescent="0.2">
      <c r="A112">
        <v>1090379776</v>
      </c>
    </row>
    <row r="113" spans="1:1" x14ac:dyDescent="0.2">
      <c r="A113">
        <v>2677415680</v>
      </c>
    </row>
    <row r="114" spans="1:1" x14ac:dyDescent="0.2">
      <c r="A114">
        <v>4500838656</v>
      </c>
    </row>
    <row r="115" spans="1:1" x14ac:dyDescent="0.2">
      <c r="A115">
        <v>6288519936</v>
      </c>
    </row>
    <row r="116" spans="1:1" x14ac:dyDescent="0.2">
      <c r="A116">
        <v>7694057472</v>
      </c>
    </row>
    <row r="117" spans="1:1" x14ac:dyDescent="0.2">
      <c r="A117">
        <v>8681640704</v>
      </c>
    </row>
    <row r="118" spans="1:1" x14ac:dyDescent="0.2">
      <c r="A118">
        <v>9525231616</v>
      </c>
    </row>
    <row r="119" spans="1:1" x14ac:dyDescent="0.2">
      <c r="A119">
        <v>10202741056</v>
      </c>
    </row>
    <row r="120" spans="1:1" x14ac:dyDescent="0.2">
      <c r="A120">
        <v>656113152</v>
      </c>
    </row>
    <row r="121" spans="1:1" x14ac:dyDescent="0.2">
      <c r="A121">
        <v>1312226304</v>
      </c>
    </row>
    <row r="122" spans="1:1" x14ac:dyDescent="0.2">
      <c r="A122">
        <v>2903377152</v>
      </c>
    </row>
    <row r="123" spans="1:1" x14ac:dyDescent="0.2">
      <c r="A123">
        <v>4154653952</v>
      </c>
    </row>
    <row r="124" spans="1:1" x14ac:dyDescent="0.2">
      <c r="A124">
        <v>5442208256</v>
      </c>
    </row>
    <row r="125" spans="1:1" x14ac:dyDescent="0.2">
      <c r="A125">
        <v>6508537856</v>
      </c>
    </row>
    <row r="126" spans="1:1" x14ac:dyDescent="0.2">
      <c r="A126">
        <v>7331020288</v>
      </c>
    </row>
    <row r="127" spans="1:1" x14ac:dyDescent="0.2">
      <c r="A127">
        <v>8005013056</v>
      </c>
    </row>
    <row r="128" spans="1:1" x14ac:dyDescent="0.2">
      <c r="A128">
        <v>8685262336</v>
      </c>
    </row>
    <row r="129" spans="1:1" x14ac:dyDescent="0.2">
      <c r="A129">
        <v>9359255104</v>
      </c>
    </row>
    <row r="130" spans="1:1" x14ac:dyDescent="0.2">
      <c r="A130">
        <v>10039504384</v>
      </c>
    </row>
    <row r="131" spans="1:1" x14ac:dyDescent="0.2">
      <c r="A131">
        <v>10719753664</v>
      </c>
    </row>
    <row r="132" spans="1:1" x14ac:dyDescent="0.2">
      <c r="A132">
        <v>11393746432</v>
      </c>
    </row>
    <row r="133" spans="1:1" x14ac:dyDescent="0.2">
      <c r="A133">
        <v>12073995712</v>
      </c>
    </row>
    <row r="134" spans="1:1" x14ac:dyDescent="0.2">
      <c r="A134">
        <v>12747988480</v>
      </c>
    </row>
    <row r="135" spans="1:1" x14ac:dyDescent="0.2">
      <c r="A135">
        <v>14127465728</v>
      </c>
    </row>
    <row r="136" spans="1:1" x14ac:dyDescent="0.2">
      <c r="A136">
        <v>14873218048</v>
      </c>
    </row>
    <row r="137" spans="1:1" x14ac:dyDescent="0.2">
      <c r="A137">
        <v>15618970368</v>
      </c>
    </row>
    <row r="138" spans="1:1" x14ac:dyDescent="0.2">
      <c r="A138">
        <v>16162622336</v>
      </c>
    </row>
    <row r="139" spans="1:1" x14ac:dyDescent="0.2">
      <c r="A139">
        <v>16684825216</v>
      </c>
    </row>
    <row r="140" spans="1:1" x14ac:dyDescent="0.2">
      <c r="A140">
        <v>17228477184</v>
      </c>
    </row>
    <row r="141" spans="1:1" x14ac:dyDescent="0.2">
      <c r="A141">
        <v>17750680064</v>
      </c>
    </row>
    <row r="142" spans="1:1" x14ac:dyDescent="0.2">
      <c r="A142">
        <v>1022046080</v>
      </c>
    </row>
    <row r="143" spans="1:1" x14ac:dyDescent="0.2">
      <c r="A143">
        <v>2044092160</v>
      </c>
    </row>
    <row r="144" spans="1:1" x14ac:dyDescent="0.2">
      <c r="A144">
        <v>3418686464</v>
      </c>
    </row>
    <row r="145" spans="1:1" x14ac:dyDescent="0.2">
      <c r="A145">
        <v>4854852864</v>
      </c>
    </row>
    <row r="146" spans="1:1" x14ac:dyDescent="0.2">
      <c r="A146">
        <v>6176506880</v>
      </c>
    </row>
    <row r="147" spans="1:1" x14ac:dyDescent="0.2">
      <c r="A147">
        <v>7195574272</v>
      </c>
    </row>
    <row r="148" spans="1:1" x14ac:dyDescent="0.2">
      <c r="A148">
        <v>711393280</v>
      </c>
    </row>
    <row r="149" spans="1:1" x14ac:dyDescent="0.2">
      <c r="A149">
        <v>1422786560</v>
      </c>
    </row>
    <row r="150" spans="1:1" x14ac:dyDescent="0.2">
      <c r="A150">
        <v>3299617280</v>
      </c>
    </row>
    <row r="151" spans="1:1" x14ac:dyDescent="0.2">
      <c r="A151">
        <v>4783716352</v>
      </c>
    </row>
    <row r="152" spans="1:1" x14ac:dyDescent="0.2">
      <c r="A152">
        <v>6215248896</v>
      </c>
    </row>
    <row r="153" spans="1:1" x14ac:dyDescent="0.2">
      <c r="A153">
        <v>1214186496</v>
      </c>
    </row>
    <row r="154" spans="1:1" x14ac:dyDescent="0.2">
      <c r="A154">
        <v>2428372992</v>
      </c>
    </row>
    <row r="155" spans="1:1" x14ac:dyDescent="0.2">
      <c r="A155">
        <v>5616750592</v>
      </c>
    </row>
    <row r="156" spans="1:1" x14ac:dyDescent="0.2">
      <c r="A156">
        <v>656113152</v>
      </c>
    </row>
    <row r="157" spans="1:1" x14ac:dyDescent="0.2">
      <c r="A157">
        <v>1312226304</v>
      </c>
    </row>
    <row r="158" spans="1:1" x14ac:dyDescent="0.2">
      <c r="A158">
        <v>2903377152</v>
      </c>
    </row>
    <row r="159" spans="1:1" x14ac:dyDescent="0.2">
      <c r="A159">
        <v>4154653952</v>
      </c>
    </row>
    <row r="160" spans="1:1" x14ac:dyDescent="0.2">
      <c r="A160">
        <v>5442208256</v>
      </c>
    </row>
    <row r="161" spans="1:1" x14ac:dyDescent="0.2">
      <c r="A161">
        <v>695283968</v>
      </c>
    </row>
    <row r="162" spans="1:1" x14ac:dyDescent="0.2">
      <c r="A162">
        <v>1390567936</v>
      </c>
    </row>
    <row r="163" spans="1:1" x14ac:dyDescent="0.2">
      <c r="A163">
        <v>2598255104</v>
      </c>
    </row>
    <row r="164" spans="1:1" x14ac:dyDescent="0.2">
      <c r="A164">
        <v>3804036608</v>
      </c>
    </row>
    <row r="165" spans="1:1" x14ac:dyDescent="0.2">
      <c r="A165">
        <v>4922703360</v>
      </c>
    </row>
    <row r="166" spans="1:1" x14ac:dyDescent="0.2">
      <c r="A166">
        <v>5859466240</v>
      </c>
    </row>
    <row r="167" spans="1:1" x14ac:dyDescent="0.2">
      <c r="A167">
        <v>6387100992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combinations of first layer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Tuck</dc:creator>
  <cp:lastModifiedBy>Steve Tuck</cp:lastModifiedBy>
  <dcterms:created xsi:type="dcterms:W3CDTF">2024-12-21T09:41:50Z</dcterms:created>
  <dcterms:modified xsi:type="dcterms:W3CDTF">2025-12-31T13:02:44Z</dcterms:modified>
</cp:coreProperties>
</file>